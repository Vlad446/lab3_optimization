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15360" windowHeight="7620" activeTab="1"/>
  </bookViews>
  <sheets>
    <sheet name="Поиск решения" sheetId="1" r:id="rId1"/>
    <sheet name="Макрос" sheetId="2" r:id="rId2"/>
  </sheets>
  <definedNames>
    <definedName name="solver_adj" localSheetId="1" hidden="1">Макрос!$C$12:$G$12</definedName>
    <definedName name="solver_adj" localSheetId="0" hidden="1">'Поиск решения'!$C$12:$G$12</definedName>
    <definedName name="solver_eng" localSheetId="1" hidden="1">1</definedName>
    <definedName name="solver_eng" localSheetId="0" hidden="1">1</definedName>
    <definedName name="solver_itr" localSheetId="0" hidden="1">2147483647</definedName>
    <definedName name="solver_lhs1" localSheetId="1" hidden="1">Макрос!$B$15</definedName>
    <definedName name="solver_lhs1" localSheetId="0" hidden="1">'Поиск решения'!$B$15</definedName>
    <definedName name="solver_lhs2" localSheetId="1" hidden="1">Макрос!$B$16</definedName>
    <definedName name="solver_lhs2" localSheetId="0" hidden="1">'Поиск решения'!$B$16</definedName>
    <definedName name="solver_lhs3" localSheetId="1" hidden="1">Макрос!$B$17</definedName>
    <definedName name="solver_lhs3" localSheetId="0" hidden="1">'Поиск решения'!$B$17</definedName>
    <definedName name="solver_lhs4" localSheetId="1" hidden="1">Макрос!$C$12:$G$12</definedName>
    <definedName name="solver_lhs4" localSheetId="0" hidden="1">'Поиск решения'!$C$12:$G$12</definedName>
    <definedName name="solver_neg" localSheetId="1" hidden="1">1</definedName>
    <definedName name="solver_neg" localSheetId="0" hidden="1">1</definedName>
    <definedName name="solver_num" localSheetId="1" hidden="1">4</definedName>
    <definedName name="solver_num" localSheetId="0" hidden="1">4</definedName>
    <definedName name="solver_opt" localSheetId="1" hidden="1">Макрос!$B$14</definedName>
    <definedName name="solver_opt" localSheetId="0" hidden="1">'Поиск решения'!$B$14</definedName>
    <definedName name="solver_rel1" localSheetId="1" hidden="1">2</definedName>
    <definedName name="solver_rel1" localSheetId="0" hidden="1">2</definedName>
    <definedName name="solver_rel2" localSheetId="1" hidden="1">2</definedName>
    <definedName name="solver_rel2" localSheetId="0" hidden="1">2</definedName>
    <definedName name="solver_rel3" localSheetId="1" hidden="1">2</definedName>
    <definedName name="solver_rel3" localSheetId="0" hidden="1">2</definedName>
    <definedName name="solver_rel4" localSheetId="1" hidden="1">3</definedName>
    <definedName name="solver_rel4" localSheetId="0" hidden="1">3</definedName>
    <definedName name="solver_rhs1" localSheetId="1" hidden="1">Макрос!$C$15</definedName>
    <definedName name="solver_rhs1" localSheetId="0" hidden="1">'Поиск решения'!$C$15</definedName>
    <definedName name="solver_rhs2" localSheetId="1" hidden="1">Макрос!$C$16</definedName>
    <definedName name="solver_rhs2" localSheetId="0" hidden="1">'Поиск решения'!$C$16</definedName>
    <definedName name="solver_rhs3" localSheetId="1" hidden="1">Макрос!$C$17</definedName>
    <definedName name="solver_rhs3" localSheetId="0" hidden="1">'Поиск решения'!$C$17</definedName>
    <definedName name="solver_rhs4" localSheetId="1" hidden="1">0</definedName>
    <definedName name="solver_rhs4" localSheetId="0" hidden="1">0</definedName>
    <definedName name="solver_tim" localSheetId="0" hidden="1">2147483647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2" l="1"/>
  <c r="B17" i="2"/>
  <c r="C16" i="2"/>
  <c r="B16" i="2"/>
  <c r="C15" i="2"/>
  <c r="B15" i="2"/>
  <c r="G14" i="2"/>
  <c r="F14" i="2"/>
  <c r="E14" i="2"/>
  <c r="D14" i="2"/>
  <c r="C14" i="2"/>
  <c r="B14" i="2"/>
  <c r="C16" i="1" l="1"/>
  <c r="C17" i="1"/>
  <c r="C15" i="1"/>
  <c r="B16" i="1"/>
  <c r="B17" i="1"/>
  <c r="B15" i="1"/>
  <c r="B14" i="1"/>
  <c r="E14" i="1"/>
  <c r="D14" i="1"/>
  <c r="F14" i="1"/>
  <c r="G14" i="1"/>
  <c r="C14" i="1"/>
</calcChain>
</file>

<file path=xl/sharedStrings.xml><?xml version="1.0" encoding="utf-8"?>
<sst xmlns="http://schemas.openxmlformats.org/spreadsheetml/2006/main" count="54" uniqueCount="27">
  <si>
    <t>Вид</t>
  </si>
  <si>
    <t>заготовки</t>
  </si>
  <si>
    <t>Количество заготовок на 1 изделие по соответствующему способу раскроя, шт.</t>
  </si>
  <si>
    <t>Количество заготовок на 1 изделие, шт.</t>
  </si>
  <si>
    <r>
      <t>А</t>
    </r>
    <r>
      <rPr>
        <vertAlign val="subscript"/>
        <sz val="12"/>
        <color theme="1"/>
        <rFont val="Times New Roman"/>
        <family val="1"/>
        <charset val="204"/>
      </rPr>
      <t>1</t>
    </r>
  </si>
  <si>
    <r>
      <t>А</t>
    </r>
    <r>
      <rPr>
        <vertAlign val="subscript"/>
        <sz val="12"/>
        <color theme="1"/>
        <rFont val="Times New Roman"/>
        <family val="1"/>
        <charset val="204"/>
      </rPr>
      <t>2</t>
    </r>
  </si>
  <si>
    <r>
      <t>А</t>
    </r>
    <r>
      <rPr>
        <vertAlign val="subscript"/>
        <sz val="12"/>
        <color theme="1"/>
        <rFont val="Times New Roman"/>
        <family val="1"/>
        <charset val="204"/>
      </rPr>
      <t>3</t>
    </r>
  </si>
  <si>
    <t>Исходные данные для расчета, Вариант 1</t>
  </si>
  <si>
    <r>
      <t xml:space="preserve">Заданная длина полос проката, </t>
    </r>
    <r>
      <rPr>
        <i/>
        <sz val="12"/>
        <color theme="1"/>
        <rFont val="Times New Roman"/>
        <family val="1"/>
        <charset val="204"/>
      </rPr>
      <t>F</t>
    </r>
    <r>
      <rPr>
        <vertAlign val="subscript"/>
        <sz val="12"/>
        <color theme="1"/>
        <rFont val="Symbol"/>
        <family val="1"/>
        <charset val="2"/>
      </rPr>
      <t>S</t>
    </r>
    <r>
      <rPr>
        <sz val="12"/>
        <color theme="1"/>
        <rFont val="Times New Roman"/>
        <family val="1"/>
        <charset val="204"/>
      </rPr>
      <t xml:space="preserve"> = </t>
    </r>
  </si>
  <si>
    <r>
      <t xml:space="preserve">Всего необходимо изготовить </t>
    </r>
    <r>
      <rPr>
        <i/>
        <sz val="12"/>
        <color theme="1"/>
        <rFont val="Times New Roman"/>
        <family val="1"/>
        <charset val="204"/>
      </rPr>
      <t xml:space="preserve">R </t>
    </r>
    <r>
      <rPr>
        <sz val="12"/>
        <color theme="1"/>
        <rFont val="Times New Roman"/>
        <family val="1"/>
        <charset val="204"/>
      </rPr>
      <t xml:space="preserve">= </t>
    </r>
  </si>
  <si>
    <r>
      <t>см</t>
    </r>
    <r>
      <rPr>
        <vertAlign val="superscript"/>
        <sz val="12"/>
        <color theme="1"/>
        <rFont val="Times New Roman"/>
        <family val="1"/>
        <charset val="204"/>
      </rPr>
      <t>2</t>
    </r>
  </si>
  <si>
    <t>шт. изделий</t>
  </si>
  <si>
    <t>X2</t>
  </si>
  <si>
    <t>X1</t>
  </si>
  <si>
    <t>X3</t>
  </si>
  <si>
    <t>X4</t>
  </si>
  <si>
    <t>X5</t>
  </si>
  <si>
    <t>Отходы 1</t>
  </si>
  <si>
    <t>Отходы 2</t>
  </si>
  <si>
    <t>Отходы 3</t>
  </si>
  <si>
    <t>Отходы 4</t>
  </si>
  <si>
    <t>Отходы 5</t>
  </si>
  <si>
    <t>целевая</t>
  </si>
  <si>
    <t>ограничение 1</t>
  </si>
  <si>
    <t>ограничение 2</t>
  </si>
  <si>
    <t>ограничение 3</t>
  </si>
  <si>
    <r>
      <rPr>
        <sz val="11"/>
        <color theme="1"/>
        <rFont val="Times New Roman"/>
        <family val="1"/>
        <charset val="204"/>
      </rPr>
      <t>Площадь поверхности заготовки, см</t>
    </r>
    <r>
      <rPr>
        <vertAlign val="superscript"/>
        <sz val="11"/>
        <color theme="1"/>
        <rFont val="Times New Roman"/>
        <family val="1"/>
        <charset val="204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</si>
</sst>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vertAlign val="superscript"/>
      <sz val="12"/>
      <color theme="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vertAlign val="subscript"/>
      <sz val="12"/>
      <color theme="1"/>
      <name val="Times New Roman"/>
      <family val="1"/>
      <charset val="204"/>
    </font>
    <font>
      <vertAlign val="subscript"/>
      <sz val="12"/>
      <color theme="1"/>
      <name val="Symbol"/>
      <family val="1"/>
      <charset val="2"/>
    </font>
    <font>
      <sz val="11"/>
      <color theme="1"/>
      <name val="Times New Roman"/>
      <family val="1"/>
      <charset val="204"/>
    </font>
    <font>
      <vertAlign val="superscript"/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1"/>
      <color rgb="FF0000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7" xfId="0" applyBorder="1"/>
    <xf numFmtId="0" fontId="0" fillId="2" borderId="7" xfId="0" applyFill="1" applyBorder="1"/>
    <xf numFmtId="0" fontId="0" fillId="3" borderId="10" xfId="0" applyFill="1" applyBorder="1"/>
    <xf numFmtId="0" fontId="0" fillId="3" borderId="7" xfId="0" applyFill="1" applyBorder="1"/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left"/>
    </xf>
    <xf numFmtId="0" fontId="1" fillId="4" borderId="10" xfId="0" applyFont="1" applyFill="1" applyBorder="1" applyAlignment="1">
      <alignment horizontal="left"/>
    </xf>
    <xf numFmtId="0" fontId="1" fillId="4" borderId="12" xfId="0" applyFont="1" applyFill="1" applyBorder="1" applyAlignment="1">
      <alignment horizontal="left"/>
    </xf>
    <xf numFmtId="0" fontId="1" fillId="4" borderId="8" xfId="0" applyFont="1" applyFill="1" applyBorder="1" applyAlignment="1">
      <alignment horizontal="left"/>
    </xf>
    <xf numFmtId="0" fontId="8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right"/>
    </xf>
    <xf numFmtId="0" fontId="1" fillId="4" borderId="9" xfId="0" applyFont="1" applyFill="1" applyBorder="1" applyAlignment="1">
      <alignment horizontal="right"/>
    </xf>
    <xf numFmtId="0" fontId="1" fillId="4" borderId="10" xfId="0" applyFont="1" applyFill="1" applyBorder="1" applyAlignment="1">
      <alignment horizontal="right"/>
    </xf>
    <xf numFmtId="0" fontId="1" fillId="0" borderId="0" xfId="0" applyFont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1" fillId="4" borderId="6" xfId="0" applyFont="1" applyFill="1" applyBorder="1" applyAlignment="1">
      <alignment horizontal="center" vertical="center" wrapText="1"/>
    </xf>
    <xf numFmtId="0" fontId="1" fillId="4" borderId="5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1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способов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'Поиск решения'!$C$12:$G$12</c:f>
              <c:numCache>
                <c:formatCode>General</c:formatCode>
                <c:ptCount val="5"/>
                <c:pt idx="0">
                  <c:v>25.000000000000007</c:v>
                </c:pt>
                <c:pt idx="1">
                  <c:v>50</c:v>
                </c:pt>
                <c:pt idx="2">
                  <c:v>99.999999999999972</c:v>
                </c:pt>
                <c:pt idx="3">
                  <c:v>50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72-4F3B-928F-BB8C9BFA730E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способов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Макрос!$C$12:$G$12</c:f>
              <c:numCache>
                <c:formatCode>0</c:formatCode>
                <c:ptCount val="5"/>
                <c:pt idx="0">
                  <c:v>25.000000000000007</c:v>
                </c:pt>
                <c:pt idx="1">
                  <c:v>50</c:v>
                </c:pt>
                <c:pt idx="2">
                  <c:v>99.999999999999972</c:v>
                </c:pt>
                <c:pt idx="3">
                  <c:v>50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01-4C9F-8A63-76614775B4A5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485775</xdr:colOff>
      <xdr:row>4</xdr:row>
      <xdr:rowOff>104775</xdr:rowOff>
    </xdr:from>
    <xdr:to>
      <xdr:col>17</xdr:col>
      <xdr:colOff>180975</xdr:colOff>
      <xdr:row>18</xdr:row>
      <xdr:rowOff>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2</xdr:row>
          <xdr:rowOff>200025</xdr:rowOff>
        </xdr:from>
        <xdr:to>
          <xdr:col>14</xdr:col>
          <xdr:colOff>381000</xdr:colOff>
          <xdr:row>3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304800</xdr:colOff>
      <xdr:row>7</xdr:row>
      <xdr:rowOff>219075</xdr:rowOff>
    </xdr:from>
    <xdr:to>
      <xdr:col>18</xdr:col>
      <xdr:colOff>0</xdr:colOff>
      <xdr:row>22</xdr:row>
      <xdr:rowOff>38100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17"/>
  <sheetViews>
    <sheetView workbookViewId="0">
      <selection activeCell="V18" sqref="V18"/>
    </sheetView>
  </sheetViews>
  <sheetFormatPr defaultRowHeight="15" x14ac:dyDescent="0.25"/>
  <cols>
    <col min="1" max="1" width="14.42578125" bestFit="1" customWidth="1"/>
    <col min="6" max="6" width="12.5703125" customWidth="1"/>
  </cols>
  <sheetData>
    <row r="1" spans="1:8" ht="16.5" thickBot="1" x14ac:dyDescent="0.3">
      <c r="A1" s="19" t="s">
        <v>7</v>
      </c>
      <c r="B1" s="19"/>
      <c r="C1" s="19"/>
      <c r="D1" s="19"/>
      <c r="E1" s="19"/>
      <c r="F1" s="19"/>
      <c r="G1" s="19"/>
    </row>
    <row r="2" spans="1:8" ht="65.25" customHeight="1" thickBot="1" x14ac:dyDescent="0.3">
      <c r="A2" s="5" t="s">
        <v>0</v>
      </c>
      <c r="B2" s="20" t="s">
        <v>26</v>
      </c>
      <c r="C2" s="21" t="s">
        <v>2</v>
      </c>
      <c r="D2" s="22"/>
      <c r="E2" s="22"/>
      <c r="F2" s="22"/>
      <c r="G2" s="23"/>
      <c r="H2" s="14" t="s">
        <v>3</v>
      </c>
    </row>
    <row r="3" spans="1:8" ht="16.5" thickBot="1" x14ac:dyDescent="0.3">
      <c r="A3" s="6" t="s">
        <v>1</v>
      </c>
      <c r="B3" s="15"/>
      <c r="C3" s="8">
        <v>1</v>
      </c>
      <c r="D3" s="8">
        <v>2</v>
      </c>
      <c r="E3" s="8">
        <v>3</v>
      </c>
      <c r="F3" s="8">
        <v>4</v>
      </c>
      <c r="G3" s="8">
        <v>5</v>
      </c>
      <c r="H3" s="15"/>
    </row>
    <row r="4" spans="1:8" ht="19.5" thickBot="1" x14ac:dyDescent="0.3">
      <c r="A4" s="9" t="s">
        <v>4</v>
      </c>
      <c r="B4" s="8">
        <v>52</v>
      </c>
      <c r="C4" s="8">
        <v>2</v>
      </c>
      <c r="D4" s="8">
        <v>1</v>
      </c>
      <c r="E4" s="8">
        <v>1</v>
      </c>
      <c r="F4" s="8">
        <v>0</v>
      </c>
      <c r="G4" s="8">
        <v>0</v>
      </c>
      <c r="H4" s="8">
        <v>4</v>
      </c>
    </row>
    <row r="5" spans="1:8" ht="19.5" thickBot="1" x14ac:dyDescent="0.3">
      <c r="A5" s="9" t="s">
        <v>5</v>
      </c>
      <c r="B5" s="8">
        <v>61</v>
      </c>
      <c r="C5" s="8">
        <v>0</v>
      </c>
      <c r="D5" s="8">
        <v>1</v>
      </c>
      <c r="E5" s="8">
        <v>0</v>
      </c>
      <c r="F5" s="8">
        <v>2</v>
      </c>
      <c r="G5" s="8">
        <v>0</v>
      </c>
      <c r="H5" s="8">
        <v>3</v>
      </c>
    </row>
    <row r="6" spans="1:8" ht="19.5" thickBot="1" x14ac:dyDescent="0.3">
      <c r="A6" s="9" t="s">
        <v>6</v>
      </c>
      <c r="B6" s="8">
        <v>70</v>
      </c>
      <c r="C6" s="8">
        <v>0</v>
      </c>
      <c r="D6" s="8">
        <v>0</v>
      </c>
      <c r="E6" s="8">
        <v>1</v>
      </c>
      <c r="F6" s="8">
        <v>0</v>
      </c>
      <c r="G6" s="8">
        <v>1</v>
      </c>
      <c r="H6" s="8">
        <v>2</v>
      </c>
    </row>
    <row r="8" spans="1:8" ht="19.5" x14ac:dyDescent="0.3">
      <c r="A8" s="16" t="s">
        <v>8</v>
      </c>
      <c r="B8" s="17"/>
      <c r="C8" s="17"/>
      <c r="D8" s="18"/>
      <c r="E8" s="10">
        <v>123</v>
      </c>
      <c r="F8" s="11" t="s">
        <v>10</v>
      </c>
    </row>
    <row r="9" spans="1:8" ht="15.75" x14ac:dyDescent="0.25">
      <c r="A9" s="16" t="s">
        <v>9</v>
      </c>
      <c r="B9" s="17"/>
      <c r="C9" s="17"/>
      <c r="D9" s="18"/>
      <c r="E9" s="12">
        <v>50</v>
      </c>
      <c r="F9" s="13" t="s">
        <v>11</v>
      </c>
    </row>
    <row r="11" spans="1:8" x14ac:dyDescent="0.25">
      <c r="C11" s="1" t="s">
        <v>13</v>
      </c>
      <c r="D11" s="1" t="s">
        <v>12</v>
      </c>
      <c r="E11" s="1" t="s">
        <v>14</v>
      </c>
      <c r="F11" s="1" t="s">
        <v>15</v>
      </c>
      <c r="G11" s="1" t="s">
        <v>16</v>
      </c>
    </row>
    <row r="12" spans="1:8" x14ac:dyDescent="0.25">
      <c r="C12" s="4">
        <v>25.000000000000007</v>
      </c>
      <c r="D12" s="4">
        <v>50</v>
      </c>
      <c r="E12" s="4">
        <v>99.999999999999972</v>
      </c>
      <c r="F12" s="4">
        <v>50</v>
      </c>
      <c r="G12" s="4">
        <v>0</v>
      </c>
    </row>
    <row r="13" spans="1:8" x14ac:dyDescent="0.25">
      <c r="C13" s="1" t="s">
        <v>17</v>
      </c>
      <c r="D13" s="1" t="s">
        <v>18</v>
      </c>
      <c r="E13" s="1" t="s">
        <v>19</v>
      </c>
      <c r="F13" s="1" t="s">
        <v>20</v>
      </c>
      <c r="G13" s="1" t="s">
        <v>21</v>
      </c>
    </row>
    <row r="14" spans="1:8" x14ac:dyDescent="0.25">
      <c r="A14" s="1" t="s">
        <v>22</v>
      </c>
      <c r="B14" s="2">
        <f>C14*C12+D14*D12+E14*E12+F14*F12+G14*G12</f>
        <v>1125</v>
      </c>
      <c r="C14" s="3">
        <f>$E$8-($B$4*C4+$B$5*C5+$B$6*C6)</f>
        <v>19</v>
      </c>
      <c r="D14" s="3">
        <f>$E$8-($B$4*D4+$B$5*D5+$B$6*D6)</f>
        <v>10</v>
      </c>
      <c r="E14" s="3">
        <f>$E$8-($B$4*E4+$B$5*E5+$B$6*E6)</f>
        <v>1</v>
      </c>
      <c r="F14" s="3">
        <f t="shared" ref="F14:G14" si="0">$E$8-($B$4*F4+$B$5*F5+$B$6*F6)</f>
        <v>1</v>
      </c>
      <c r="G14" s="3">
        <f t="shared" si="0"/>
        <v>53</v>
      </c>
    </row>
    <row r="15" spans="1:8" x14ac:dyDescent="0.25">
      <c r="A15" s="1" t="s">
        <v>23</v>
      </c>
      <c r="B15" s="2">
        <f>C4*C$12+D4*D$12+E4*E$12+F4*F$12+G4*G$12</f>
        <v>200</v>
      </c>
      <c r="C15" s="2">
        <f>H4*$E$9</f>
        <v>200</v>
      </c>
    </row>
    <row r="16" spans="1:8" x14ac:dyDescent="0.25">
      <c r="A16" s="1" t="s">
        <v>24</v>
      </c>
      <c r="B16" s="2">
        <f t="shared" ref="B16:B17" si="1">C5*C$12+D5*D$12+E5*E$12+F5*F$12+G5*G$12</f>
        <v>150</v>
      </c>
      <c r="C16" s="2">
        <f t="shared" ref="C16:C17" si="2">H5*$E$9</f>
        <v>150</v>
      </c>
    </row>
    <row r="17" spans="1:3" x14ac:dyDescent="0.25">
      <c r="A17" s="1" t="s">
        <v>25</v>
      </c>
      <c r="B17" s="2">
        <f t="shared" si="1"/>
        <v>99.999999999999972</v>
      </c>
      <c r="C17" s="2">
        <f t="shared" si="2"/>
        <v>100</v>
      </c>
    </row>
  </sheetData>
  <mergeCells count="6">
    <mergeCell ref="H2:H3"/>
    <mergeCell ref="A8:D8"/>
    <mergeCell ref="A9:D9"/>
    <mergeCell ref="A1:G1"/>
    <mergeCell ref="B2:B3"/>
    <mergeCell ref="C2:G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H17"/>
  <sheetViews>
    <sheetView tabSelected="1" workbookViewId="0">
      <selection activeCell="I21" sqref="I21"/>
    </sheetView>
  </sheetViews>
  <sheetFormatPr defaultRowHeight="15" x14ac:dyDescent="0.25"/>
  <cols>
    <col min="1" max="1" width="14.42578125" bestFit="1" customWidth="1"/>
  </cols>
  <sheetData>
    <row r="1" spans="1:8" ht="16.5" thickBot="1" x14ac:dyDescent="0.3">
      <c r="A1" s="19" t="s">
        <v>7</v>
      </c>
      <c r="B1" s="19"/>
      <c r="C1" s="19"/>
      <c r="D1" s="19"/>
      <c r="E1" s="19"/>
      <c r="F1" s="19"/>
      <c r="G1" s="19"/>
    </row>
    <row r="2" spans="1:8" ht="31.5" customHeight="1" thickBot="1" x14ac:dyDescent="0.3">
      <c r="A2" s="5" t="s">
        <v>0</v>
      </c>
      <c r="B2" s="20" t="s">
        <v>26</v>
      </c>
      <c r="C2" s="21" t="s">
        <v>2</v>
      </c>
      <c r="D2" s="22"/>
      <c r="E2" s="22"/>
      <c r="F2" s="22"/>
      <c r="G2" s="23"/>
      <c r="H2" s="14" t="s">
        <v>3</v>
      </c>
    </row>
    <row r="3" spans="1:8" ht="50.25" customHeight="1" thickBot="1" x14ac:dyDescent="0.3">
      <c r="A3" s="7" t="s">
        <v>1</v>
      </c>
      <c r="B3" s="15"/>
      <c r="C3" s="8">
        <v>1</v>
      </c>
      <c r="D3" s="8">
        <v>2</v>
      </c>
      <c r="E3" s="8">
        <v>3</v>
      </c>
      <c r="F3" s="8">
        <v>4</v>
      </c>
      <c r="G3" s="8">
        <v>5</v>
      </c>
      <c r="H3" s="15"/>
    </row>
    <row r="4" spans="1:8" ht="19.5" thickBot="1" x14ac:dyDescent="0.3">
      <c r="A4" s="9" t="s">
        <v>4</v>
      </c>
      <c r="B4" s="8">
        <v>52</v>
      </c>
      <c r="C4" s="8">
        <v>2</v>
      </c>
      <c r="D4" s="8">
        <v>1</v>
      </c>
      <c r="E4" s="8">
        <v>1</v>
      </c>
      <c r="F4" s="8">
        <v>0</v>
      </c>
      <c r="G4" s="8">
        <v>0</v>
      </c>
      <c r="H4" s="8">
        <v>4</v>
      </c>
    </row>
    <row r="5" spans="1:8" ht="19.5" thickBot="1" x14ac:dyDescent="0.3">
      <c r="A5" s="9" t="s">
        <v>5</v>
      </c>
      <c r="B5" s="8">
        <v>61</v>
      </c>
      <c r="C5" s="8">
        <v>0</v>
      </c>
      <c r="D5" s="8">
        <v>1</v>
      </c>
      <c r="E5" s="8">
        <v>0</v>
      </c>
      <c r="F5" s="8">
        <v>2</v>
      </c>
      <c r="G5" s="8">
        <v>0</v>
      </c>
      <c r="H5" s="8">
        <v>3</v>
      </c>
    </row>
    <row r="6" spans="1:8" ht="19.5" thickBot="1" x14ac:dyDescent="0.3">
      <c r="A6" s="9" t="s">
        <v>6</v>
      </c>
      <c r="B6" s="8">
        <v>70</v>
      </c>
      <c r="C6" s="8">
        <v>0</v>
      </c>
      <c r="D6" s="8">
        <v>0</v>
      </c>
      <c r="E6" s="8">
        <v>1</v>
      </c>
      <c r="F6" s="8">
        <v>0</v>
      </c>
      <c r="G6" s="8">
        <v>1</v>
      </c>
      <c r="H6" s="8">
        <v>2</v>
      </c>
    </row>
    <row r="8" spans="1:8" ht="19.5" x14ac:dyDescent="0.3">
      <c r="A8" s="16" t="s">
        <v>8</v>
      </c>
      <c r="B8" s="17"/>
      <c r="C8" s="17"/>
      <c r="D8" s="18"/>
      <c r="E8" s="10">
        <v>123</v>
      </c>
      <c r="F8" s="11" t="s">
        <v>10</v>
      </c>
    </row>
    <row r="9" spans="1:8" ht="15.75" x14ac:dyDescent="0.25">
      <c r="A9" s="16" t="s">
        <v>9</v>
      </c>
      <c r="B9" s="17"/>
      <c r="C9" s="17"/>
      <c r="D9" s="18"/>
      <c r="E9" s="12">
        <v>50</v>
      </c>
      <c r="F9" s="13" t="s">
        <v>11</v>
      </c>
    </row>
    <row r="11" spans="1:8" x14ac:dyDescent="0.25">
      <c r="C11" s="1" t="s">
        <v>13</v>
      </c>
      <c r="D11" s="1" t="s">
        <v>12</v>
      </c>
      <c r="E11" s="1" t="s">
        <v>14</v>
      </c>
      <c r="F11" s="1" t="s">
        <v>15</v>
      </c>
      <c r="G11" s="1" t="s">
        <v>16</v>
      </c>
    </row>
    <row r="12" spans="1:8" x14ac:dyDescent="0.25">
      <c r="C12" s="24">
        <v>25.000000000000007</v>
      </c>
      <c r="D12" s="24">
        <v>50</v>
      </c>
      <c r="E12" s="24">
        <v>99.999999999999972</v>
      </c>
      <c r="F12" s="24">
        <v>50</v>
      </c>
      <c r="G12" s="24">
        <v>0</v>
      </c>
    </row>
    <row r="13" spans="1:8" x14ac:dyDescent="0.25">
      <c r="C13" s="1" t="s">
        <v>17</v>
      </c>
      <c r="D13" s="1" t="s">
        <v>18</v>
      </c>
      <c r="E13" s="1" t="s">
        <v>19</v>
      </c>
      <c r="F13" s="1" t="s">
        <v>20</v>
      </c>
      <c r="G13" s="1" t="s">
        <v>21</v>
      </c>
    </row>
    <row r="14" spans="1:8" x14ac:dyDescent="0.25">
      <c r="A14" s="1" t="s">
        <v>22</v>
      </c>
      <c r="B14" s="2">
        <f>C14*C12+D14*D12+E14*E12+F14*F12+G14*G12</f>
        <v>1125</v>
      </c>
      <c r="C14" s="3">
        <f>$E$8-($B$4*C4+$B$5*C5+$B$6*C6)</f>
        <v>19</v>
      </c>
      <c r="D14" s="3">
        <f>$E$8-($B$4*D4+$B$5*D5+$B$6*D6)</f>
        <v>10</v>
      </c>
      <c r="E14" s="3">
        <f>$E$8-($B$4*E4+$B$5*E5+$B$6*E6)</f>
        <v>1</v>
      </c>
      <c r="F14" s="3">
        <f t="shared" ref="F14:G14" si="0">$E$8-($B$4*F4+$B$5*F5+$B$6*F6)</f>
        <v>1</v>
      </c>
      <c r="G14" s="3">
        <f t="shared" si="0"/>
        <v>53</v>
      </c>
    </row>
    <row r="15" spans="1:8" x14ac:dyDescent="0.25">
      <c r="A15" s="1" t="s">
        <v>23</v>
      </c>
      <c r="B15" s="2">
        <f>C4*C$12+D4*D$12+E4*E$12+F4*F$12+G4*G$12</f>
        <v>200</v>
      </c>
      <c r="C15" s="2">
        <f>H4*$E$9</f>
        <v>200</v>
      </c>
    </row>
    <row r="16" spans="1:8" x14ac:dyDescent="0.25">
      <c r="A16" s="1" t="s">
        <v>24</v>
      </c>
      <c r="B16" s="2">
        <f t="shared" ref="B16:B17" si="1">C5*C$12+D5*D$12+E5*E$12+F5*F$12+G5*G$12</f>
        <v>150</v>
      </c>
      <c r="C16" s="2">
        <f t="shared" ref="C16:C17" si="2">H5*$E$9</f>
        <v>150</v>
      </c>
    </row>
    <row r="17" spans="1:3" x14ac:dyDescent="0.25">
      <c r="A17" s="1" t="s">
        <v>25</v>
      </c>
      <c r="B17" s="2">
        <f t="shared" si="1"/>
        <v>99.999999999999972</v>
      </c>
      <c r="C17" s="2">
        <f t="shared" si="2"/>
        <v>100</v>
      </c>
    </row>
  </sheetData>
  <mergeCells count="6">
    <mergeCell ref="A9:D9"/>
    <mergeCell ref="A1:G1"/>
    <mergeCell ref="B2:B3"/>
    <mergeCell ref="C2:G2"/>
    <mergeCell ref="H2:H3"/>
    <mergeCell ref="A8:D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Макрос">
                <anchor moveWithCells="1" sizeWithCells="1">
                  <from>
                    <xdr:col>10</xdr:col>
                    <xdr:colOff>57150</xdr:colOff>
                    <xdr:row>2</xdr:row>
                    <xdr:rowOff>200025</xdr:rowOff>
                  </from>
                  <to>
                    <xdr:col>14</xdr:col>
                    <xdr:colOff>381000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Поиск решения</vt:lpstr>
      <vt:lpstr>Макрос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2022-11-10T08:49:09Z</dcterms:modified>
</cp:coreProperties>
</file>